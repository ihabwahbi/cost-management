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wahbi\dev\cost-management\docs\"/>
    </mc:Choice>
  </mc:AlternateContent>
  <xr:revisionPtr revIDLastSave="0" documentId="13_ncr:1_{99C24099-1915-4A35-87E6-CB5BDC1B976E}" xr6:coauthVersionLast="47" xr6:coauthVersionMax="47" xr10:uidLastSave="{00000000-0000-0000-0000-000000000000}"/>
  <bookViews>
    <workbookView xWindow="38280" yWindow="-120" windowWidth="38640" windowHeight="21120" activeTab="1" xr2:uid="{03BC9608-5FA2-487C-92D0-A98DC401C2EB}"/>
  </bookViews>
  <sheets>
    <sheet name="Project Spend Assumptions (3)" sheetId="4" r:id="rId1"/>
    <sheet name="Project Spend Assumptions (2)" sheetId="3" r:id="rId2"/>
    <sheet name="Project Spend Assumptions" sheetId="1" r:id="rId3"/>
    <sheet name="PO Mapping Inbox" sheetId="2" r:id="rId4"/>
  </sheets>
  <definedNames>
    <definedName name="_xlnm._FilterDatabase" localSheetId="1" hidden="1">'Project Spend Assumptions (2)'!$A$1:$G$14</definedName>
    <definedName name="_xlnm._FilterDatabase" localSheetId="0" hidden="1">'Project Spend Assumptions (3)'!$A$1:$H$2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<sst xmlns="http://schemas.openxmlformats.org/spreadsheetml/2006/main" count="104" uniqueCount="48">
  <si>
    <t>Spend Type</t>
  </si>
  <si>
    <t>CT</t>
  </si>
  <si>
    <t>ACTive M&amp;S</t>
  </si>
  <si>
    <t>TCP</t>
  </si>
  <si>
    <t>CIRP M&amp;S</t>
  </si>
  <si>
    <t>Invoiced As of Today</t>
  </si>
  <si>
    <t>Open PO Value</t>
  </si>
  <si>
    <t>Updated Cost Assumption Jan 2025</t>
  </si>
  <si>
    <t>Initial Cost Assumption Jun 2024</t>
  </si>
  <si>
    <t>Updated Cost Assumption Mar 2025</t>
  </si>
  <si>
    <t>Sub Business Line</t>
  </si>
  <si>
    <t>Coil Strings</t>
  </si>
  <si>
    <t>Coil Drums</t>
  </si>
  <si>
    <t>Comments</t>
  </si>
  <si>
    <t>Two strings to be ordered</t>
  </si>
  <si>
    <t>PO Number</t>
  </si>
  <si>
    <t>Plant</t>
  </si>
  <si>
    <t>Purchase Requisition Number</t>
  </si>
  <si>
    <t>Purchase Requisition: Creation Indicator (Text)</t>
  </si>
  <si>
    <t>Net Order Value in USD</t>
  </si>
  <si>
    <t>Purchase Requisition Number : created by (Text)</t>
  </si>
  <si>
    <t>Cost Line</t>
  </si>
  <si>
    <t>Valuation Class</t>
  </si>
  <si>
    <t>G/L Account</t>
  </si>
  <si>
    <t>Project</t>
  </si>
  <si>
    <t>WBS</t>
  </si>
  <si>
    <t>SLB Vendor Category</t>
  </si>
  <si>
    <t>Main Vendor name</t>
  </si>
  <si>
    <t>WIS</t>
  </si>
  <si>
    <t>M&amp;S</t>
  </si>
  <si>
    <t>Cost (Budget)</t>
  </si>
  <si>
    <t>Treating Iron</t>
  </si>
  <si>
    <t>CIRP Stack Frame</t>
  </si>
  <si>
    <t>Coil Monocable</t>
  </si>
  <si>
    <t>ACTive</t>
  </si>
  <si>
    <t>Operational</t>
  </si>
  <si>
    <t>Maintenance</t>
  </si>
  <si>
    <t>Spend Sub Category</t>
  </si>
  <si>
    <t>BOP Recert / Spares</t>
  </si>
  <si>
    <t>PCE 7in Risers</t>
  </si>
  <si>
    <t>IH Stand for Stabbing</t>
  </si>
  <si>
    <t>Local or Singapore?</t>
  </si>
  <si>
    <t>PCE X-Overs / Lifting Caps</t>
  </si>
  <si>
    <t>Maintenance Recert</t>
  </si>
  <si>
    <t>Critical Ops Spare Parts</t>
  </si>
  <si>
    <t>Highly uncertain, could be up to 300k</t>
  </si>
  <si>
    <t>Actual</t>
  </si>
  <si>
    <t>Invoiced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</si>
</sst>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vertical="top"/>
    </xf>
    <xf numFmtId="164" fontId="0" fillId="0" borderId="1" xfId="1" applyNumberFormat="1" applyFont="1" applyFill="1" applyBorder="1" applyAlignment="1">
      <alignment horizontal="left" vertical="top"/>
    </xf>
    <xf numFmtId="17" fontId="0" fillId="0" borderId="1" xfId="0" applyNumberFormat="1" applyBorder="1" applyAlignment="1">
      <alignment horizontal="left" vertical="top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D59F-2773-4C2F-A6EB-D584F9831293}">
  <dimension ref="A1:H2"/>
  <sheetViews>
    <sheetView workbookViewId="0">
      <selection activeCell="G2" sqref="G2"/>
    </sheetView>
  </sheetViews>
  <sheetFormatPr defaultRowHeight="15" x14ac:dyDescent="0.25"/>
  <cols>
    <col min="1" max="1" width="19" customWidth="1"/>
    <col min="2" max="2" width="8.85546875" bestFit="1" customWidth="1"/>
    <col min="3" max="3" width="19" customWidth="1"/>
    <col min="4" max="4" width="27" customWidth="1"/>
    <col min="5" max="5" width="12.7109375" bestFit="1" customWidth="1"/>
    <col min="6" max="6" width="16.140625" customWidth="1"/>
    <col min="7" max="7" width="14.5703125" customWidth="1"/>
    <col min="8" max="8" width="46.7109375" customWidth="1"/>
  </cols>
  <sheetData>
    <row r="1" spans="1:8" x14ac:dyDescent="0.25">
      <c r="A1" s="1" t="s">
        <v>10</v>
      </c>
      <c r="B1" s="1" t="s">
        <v>21</v>
      </c>
      <c r="C1" s="1" t="s">
        <v>0</v>
      </c>
      <c r="D1" s="1" t="s">
        <v>37</v>
      </c>
      <c r="E1" s="3" t="s">
        <v>30</v>
      </c>
      <c r="F1" s="3" t="s">
        <v>6</v>
      </c>
      <c r="G1" s="3" t="s">
        <v>47</v>
      </c>
      <c r="H1" s="3" t="s">
        <v>13</v>
      </c>
    </row>
    <row r="2" spans="1:8" x14ac:dyDescent="0.25">
      <c r="A2" s="1" t="s">
        <v>28</v>
      </c>
      <c r="B2" s="1" t="s">
        <v>29</v>
      </c>
      <c r="C2" s="1" t="s">
        <v>35</v>
      </c>
      <c r="D2" s="1" t="s">
        <v>11</v>
      </c>
      <c r="E2" s="4">
        <v>490</v>
      </c>
      <c r="F2" s="4"/>
      <c r="G2" s="4"/>
      <c r="H2" s="4"/>
    </row>
  </sheetData>
  <autoFilter ref="A1:H2" xr:uid="{5FE22C95-5FFC-40D9-9442-F1F85482F4E7}"/>
  <pageMargins left="0.7" right="0.7" top="0.75" bottom="0.75" header="0.3" footer="0.3"/>
  <headerFooter>
    <oddFooter>&amp;C_x000D_&amp;1#&amp;"Calibri"&amp;10&amp;K000000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2C95-5FFC-40D9-9442-F1F85482F4E7}">
  <dimension ref="A1:G14"/>
  <sheetViews>
    <sheetView tabSelected="1" workbookViewId="0"/>
  </sheetViews>
  <sheetFormatPr defaultRowHeight="15" x14ac:dyDescent="0.25"/>
  <cols>
    <col min="1" max="1" width="19" customWidth="1"/>
    <col min="2" max="2" width="8.85546875" bestFit="1" customWidth="1"/>
    <col min="3" max="3" width="19" customWidth="1"/>
    <col min="4" max="4" width="27" customWidth="1"/>
    <col min="5" max="5" width="12.7109375" bestFit="1" customWidth="1"/>
    <col min="6" max="6" width="14.5703125" customWidth="1"/>
    <col min="7" max="7" width="46.7109375" customWidth="1"/>
  </cols>
  <sheetData>
    <row r="1" spans="1:7" x14ac:dyDescent="0.25">
      <c r="A1" s="1" t="s">
        <v>10</v>
      </c>
      <c r="B1" s="1" t="s">
        <v>21</v>
      </c>
      <c r="C1" s="1" t="s">
        <v>0</v>
      </c>
      <c r="D1" s="1" t="s">
        <v>37</v>
      </c>
      <c r="E1" s="3" t="s">
        <v>30</v>
      </c>
      <c r="F1" s="3" t="s">
        <v>46</v>
      </c>
      <c r="G1" s="3" t="s">
        <v>13</v>
      </c>
    </row>
    <row r="2" spans="1:7" x14ac:dyDescent="0.25">
      <c r="A2" s="1" t="s">
        <v>28</v>
      </c>
      <c r="B2" s="1" t="s">
        <v>29</v>
      </c>
      <c r="C2" s="1" t="s">
        <v>35</v>
      </c>
      <c r="D2" s="1" t="s">
        <v>11</v>
      </c>
      <c r="E2" s="4">
        <v>490</v>
      </c>
      <c r="F2" s="4"/>
      <c r="G2" s="4"/>
    </row>
    <row r="3" spans="1:7" x14ac:dyDescent="0.25">
      <c r="A3" s="1" t="s">
        <v>28</v>
      </c>
      <c r="B3" s="1" t="s">
        <v>29</v>
      </c>
      <c r="C3" s="1" t="s">
        <v>35</v>
      </c>
      <c r="D3" s="1" t="s">
        <v>12</v>
      </c>
      <c r="E3" s="4">
        <v>370</v>
      </c>
      <c r="F3" s="4"/>
      <c r="G3" s="4"/>
    </row>
    <row r="4" spans="1:7" x14ac:dyDescent="0.25">
      <c r="A4" s="1" t="s">
        <v>28</v>
      </c>
      <c r="B4" s="1" t="s">
        <v>29</v>
      </c>
      <c r="C4" s="1" t="s">
        <v>35</v>
      </c>
      <c r="D4" s="1" t="s">
        <v>33</v>
      </c>
      <c r="E4" s="4">
        <v>120</v>
      </c>
      <c r="F4" s="4"/>
      <c r="G4" s="4"/>
    </row>
    <row r="5" spans="1:7" x14ac:dyDescent="0.25">
      <c r="A5" s="1" t="s">
        <v>28</v>
      </c>
      <c r="B5" s="1" t="s">
        <v>29</v>
      </c>
      <c r="C5" s="1" t="s">
        <v>35</v>
      </c>
      <c r="D5" s="1" t="s">
        <v>34</v>
      </c>
      <c r="E5" s="4">
        <v>350</v>
      </c>
      <c r="F5" s="4"/>
      <c r="G5" s="4"/>
    </row>
    <row r="6" spans="1:7" x14ac:dyDescent="0.25">
      <c r="A6" s="1" t="s">
        <v>28</v>
      </c>
      <c r="B6" s="1" t="s">
        <v>29</v>
      </c>
      <c r="C6" s="1" t="s">
        <v>35</v>
      </c>
      <c r="D6" s="4" t="s">
        <v>39</v>
      </c>
      <c r="E6" s="4">
        <v>250</v>
      </c>
      <c r="F6" s="4"/>
      <c r="G6" s="4"/>
    </row>
    <row r="7" spans="1:7" x14ac:dyDescent="0.25">
      <c r="A7" s="1" t="s">
        <v>28</v>
      </c>
      <c r="B7" s="1" t="s">
        <v>29</v>
      </c>
      <c r="C7" s="4" t="s">
        <v>36</v>
      </c>
      <c r="D7" s="4" t="s">
        <v>38</v>
      </c>
      <c r="E7" s="4">
        <v>100</v>
      </c>
      <c r="F7" s="4"/>
      <c r="G7" s="4"/>
    </row>
    <row r="8" spans="1:7" x14ac:dyDescent="0.25">
      <c r="A8" s="1" t="s">
        <v>28</v>
      </c>
      <c r="B8" s="1" t="s">
        <v>29</v>
      </c>
      <c r="C8" s="4" t="s">
        <v>36</v>
      </c>
      <c r="D8" s="4" t="s">
        <v>31</v>
      </c>
      <c r="E8" s="4">
        <v>100</v>
      </c>
      <c r="F8" s="4"/>
      <c r="G8" s="4"/>
    </row>
    <row r="9" spans="1:7" x14ac:dyDescent="0.25">
      <c r="A9" s="1" t="s">
        <v>28</v>
      </c>
      <c r="B9" s="1" t="s">
        <v>29</v>
      </c>
      <c r="C9" s="1" t="s">
        <v>35</v>
      </c>
      <c r="D9" s="4" t="s">
        <v>40</v>
      </c>
      <c r="E9" s="4">
        <v>150</v>
      </c>
      <c r="F9" s="4"/>
      <c r="G9" s="4" t="s">
        <v>41</v>
      </c>
    </row>
    <row r="10" spans="1:7" x14ac:dyDescent="0.25">
      <c r="A10" s="1" t="s">
        <v>28</v>
      </c>
      <c r="B10" s="1" t="s">
        <v>29</v>
      </c>
      <c r="C10" s="1" t="s">
        <v>35</v>
      </c>
      <c r="D10" s="4" t="s">
        <v>42</v>
      </c>
      <c r="E10" s="4">
        <v>80</v>
      </c>
      <c r="F10" s="4"/>
      <c r="G10" s="4"/>
    </row>
    <row r="11" spans="1:7" x14ac:dyDescent="0.25">
      <c r="A11" s="1" t="s">
        <v>28</v>
      </c>
      <c r="B11" s="1" t="s">
        <v>29</v>
      </c>
      <c r="C11" s="4" t="s">
        <v>36</v>
      </c>
      <c r="D11" s="4" t="s">
        <v>43</v>
      </c>
      <c r="E11" s="4">
        <v>150</v>
      </c>
      <c r="F11" s="4"/>
      <c r="G11" s="4"/>
    </row>
    <row r="12" spans="1:7" x14ac:dyDescent="0.25">
      <c r="A12" s="1" t="s">
        <v>28</v>
      </c>
      <c r="B12" s="1" t="s">
        <v>29</v>
      </c>
      <c r="C12" s="1" t="s">
        <v>35</v>
      </c>
      <c r="D12" s="4" t="s">
        <v>44</v>
      </c>
      <c r="E12" s="4">
        <v>150</v>
      </c>
      <c r="F12" s="4"/>
      <c r="G12" s="4" t="s">
        <v>45</v>
      </c>
    </row>
    <row r="13" spans="1:7" x14ac:dyDescent="0.25">
      <c r="A13" s="1" t="s">
        <v>3</v>
      </c>
      <c r="B13" s="1" t="s">
        <v>29</v>
      </c>
      <c r="C13" s="1" t="s">
        <v>35</v>
      </c>
      <c r="D13" s="4" t="s">
        <v>32</v>
      </c>
      <c r="E13" s="4">
        <v>150</v>
      </c>
      <c r="F13" s="4"/>
      <c r="G13" s="4"/>
    </row>
    <row r="14" spans="1:7" x14ac:dyDescent="0.25">
      <c r="A14" s="1" t="s">
        <v>3</v>
      </c>
      <c r="B14" s="1" t="s">
        <v>29</v>
      </c>
      <c r="C14" s="1" t="s">
        <v>35</v>
      </c>
      <c r="D14" s="4" t="s">
        <v>4</v>
      </c>
      <c r="E14" s="4">
        <v>900</v>
      </c>
      <c r="F14" s="4"/>
      <c r="G14" s="4"/>
    </row>
  </sheetData>
  <autoFilter ref="A1:G14" xr:uid="{5FE22C95-5FFC-40D9-9442-F1F85482F4E7}"/>
  <pageMargins left="0.7" right="0.7" top="0.75" bottom="0.75" header="0.3" footer="0.3"/>
  <headerFooter>
    <oddFooter>&amp;C_x000D_&amp;1#&amp;"Calibri"&amp;10&amp;K000000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02CB-6DB8-4EC4-8034-B693E6BD38A6}">
  <dimension ref="A1:H5"/>
  <sheetViews>
    <sheetView workbookViewId="0">
      <selection sqref="A1:H1"/>
    </sheetView>
  </sheetViews>
  <sheetFormatPr defaultRowHeight="15" x14ac:dyDescent="0.25"/>
  <cols>
    <col min="1" max="1" width="19" customWidth="1"/>
    <col min="2" max="2" width="15.28515625" bestFit="1" customWidth="1"/>
    <col min="3" max="3" width="27.140625" bestFit="1" customWidth="1"/>
    <col min="4" max="4" width="29.5703125" bestFit="1" customWidth="1"/>
    <col min="5" max="5" width="30.140625" bestFit="1" customWidth="1"/>
    <col min="6" max="6" width="17.140625" bestFit="1" customWidth="1"/>
    <col min="7" max="7" width="20.140625" customWidth="1"/>
    <col min="8" max="8" width="23.5703125" customWidth="1"/>
  </cols>
  <sheetData>
    <row r="1" spans="1:8" x14ac:dyDescent="0.25">
      <c r="A1" s="1" t="s">
        <v>10</v>
      </c>
      <c r="B1" s="1" t="s">
        <v>0</v>
      </c>
      <c r="C1" s="3" t="s">
        <v>8</v>
      </c>
      <c r="D1" s="3" t="s">
        <v>7</v>
      </c>
      <c r="E1" s="3" t="s">
        <v>9</v>
      </c>
      <c r="F1" s="4" t="s">
        <v>5</v>
      </c>
      <c r="G1" s="4" t="s">
        <v>6</v>
      </c>
      <c r="H1" s="3" t="s">
        <v>13</v>
      </c>
    </row>
    <row r="2" spans="1:8" x14ac:dyDescent="0.25">
      <c r="A2" s="1" t="s">
        <v>1</v>
      </c>
      <c r="B2" s="1" t="s">
        <v>11</v>
      </c>
      <c r="C2" s="2">
        <v>350</v>
      </c>
      <c r="D2" s="2">
        <f t="shared" ref="D2:E2" si="0">440+50</f>
        <v>490</v>
      </c>
      <c r="E2" s="2">
        <f t="shared" si="0"/>
        <v>490</v>
      </c>
      <c r="F2" s="4">
        <v>514</v>
      </c>
      <c r="G2" s="4">
        <v>0</v>
      </c>
      <c r="H2" s="4" t="s">
        <v>14</v>
      </c>
    </row>
    <row r="3" spans="1:8" x14ac:dyDescent="0.25">
      <c r="A3" s="1" t="s">
        <v>1</v>
      </c>
      <c r="B3" s="1" t="s">
        <v>12</v>
      </c>
      <c r="C3" s="2">
        <v>350</v>
      </c>
      <c r="D3" s="2">
        <v>360</v>
      </c>
      <c r="E3" s="2">
        <v>370</v>
      </c>
      <c r="F3" s="4"/>
      <c r="G3" s="2">
        <v>370</v>
      </c>
      <c r="H3" s="4"/>
    </row>
    <row r="4" spans="1:8" x14ac:dyDescent="0.25">
      <c r="A4" s="1" t="s">
        <v>1</v>
      </c>
      <c r="B4" s="1" t="s">
        <v>2</v>
      </c>
      <c r="C4" s="2">
        <v>150</v>
      </c>
      <c r="D4" s="2">
        <v>350</v>
      </c>
      <c r="E4" s="2">
        <v>350</v>
      </c>
      <c r="F4" s="4">
        <v>302</v>
      </c>
      <c r="G4" s="4"/>
      <c r="H4" s="4"/>
    </row>
    <row r="5" spans="1:8" x14ac:dyDescent="0.25">
      <c r="A5" s="1" t="s">
        <v>3</v>
      </c>
      <c r="B5" s="1" t="s">
        <v>4</v>
      </c>
      <c r="C5" s="2">
        <v>500</v>
      </c>
      <c r="D5" s="2">
        <v>600</v>
      </c>
      <c r="E5" s="2">
        <v>900</v>
      </c>
      <c r="F5" s="4">
        <v>300</v>
      </c>
      <c r="G5" s="4">
        <v>200</v>
      </c>
      <c r="H5" s="4"/>
    </row>
  </sheetData>
  <pageMargins left="0.7" right="0.7" top="0.75" bottom="0.75" header="0.3" footer="0.3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6112-C10C-463F-8F4C-E15087B04FE2}">
  <dimension ref="A1:K3"/>
  <sheetViews>
    <sheetView workbookViewId="0">
      <selection activeCell="J1" sqref="J1:K1048576"/>
    </sheetView>
  </sheetViews>
  <sheetFormatPr defaultRowHeight="15" x14ac:dyDescent="0.25"/>
  <cols>
    <col min="1" max="1" width="22.42578125" customWidth="1"/>
    <col min="2" max="2" width="27.85546875" customWidth="1"/>
    <col min="3" max="3" width="22.42578125" customWidth="1"/>
    <col min="4" max="4" width="24.28515625" customWidth="1"/>
    <col min="5" max="5" width="11.42578125" customWidth="1"/>
    <col min="6" max="6" width="30.85546875" customWidth="1"/>
    <col min="7" max="7" width="38.28515625" customWidth="1"/>
    <col min="8" max="9" width="43" bestFit="1" customWidth="1"/>
    <col min="10" max="10" width="19" bestFit="1" customWidth="1"/>
    <col min="11" max="11" width="17.85546875" bestFit="1" customWidth="1"/>
  </cols>
  <sheetData>
    <row r="1" spans="1:11" x14ac:dyDescent="0.25">
      <c r="A1" t="s">
        <v>15</v>
      </c>
      <c r="B1" t="s">
        <v>21</v>
      </c>
      <c r="C1" t="s">
        <v>24</v>
      </c>
      <c r="D1" t="s">
        <v>10</v>
      </c>
      <c r="E1" t="s">
        <v>16</v>
      </c>
      <c r="F1" t="s">
        <v>19</v>
      </c>
      <c r="G1" t="s">
        <v>17</v>
      </c>
      <c r="H1" t="s">
        <v>20</v>
      </c>
      <c r="I1" t="s">
        <v>18</v>
      </c>
      <c r="J1" t="s">
        <v>26</v>
      </c>
      <c r="K1" t="s">
        <v>27</v>
      </c>
    </row>
    <row r="2" spans="1:11" x14ac:dyDescent="0.25">
      <c r="B2" t="s">
        <v>22</v>
      </c>
      <c r="C2" t="s">
        <v>25</v>
      </c>
    </row>
    <row r="3" spans="1:11" x14ac:dyDescent="0.25">
      <c r="B3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Spend Assumptions (3)</vt:lpstr>
      <vt:lpstr>Project Spend Assumptions (2)</vt:lpstr>
      <vt:lpstr>Project Spend Assumptions</vt:lpstr>
      <vt:lpstr>PO Mapping Inbox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Wahbi</dc:creator>
  <cp:lastModifiedBy>Ihab Wahbi</cp:lastModifiedBy>
  <dcterms:created xsi:type="dcterms:W3CDTF">2025-08-30T08:51:15Z</dcterms:created>
  <dcterms:modified xsi:type="dcterms:W3CDTF">2025-09-11T05:18:56Z</dcterms:modified>
</cp:coreProperties>
</file>